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ruize\Desktop\exxonM\testUI_unc\sens\"/>
    </mc:Choice>
  </mc:AlternateContent>
  <xr:revisionPtr revIDLastSave="0" documentId="13_ncr:1_{C9FA4BAB-CA69-4EEB-ABC7-F17D03203F87}" xr6:coauthVersionLast="47" xr6:coauthVersionMax="47" xr10:uidLastSave="{00000000-0000-0000-0000-000000000000}"/>
  <bookViews>
    <workbookView xWindow="675" yWindow="1590" windowWidth="20295" windowHeight="137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C23" i="1" s="1"/>
  <c r="C24" i="1" s="1"/>
  <c r="D22" i="1"/>
  <c r="D23" i="1" s="1"/>
  <c r="D24" i="1" s="1"/>
  <c r="E22" i="1"/>
  <c r="E23" i="1"/>
  <c r="E24" i="1"/>
  <c r="B23" i="1"/>
  <c r="B24" i="1" s="1"/>
  <c r="B22" i="1"/>
  <c r="G25" i="1"/>
  <c r="C25" i="1"/>
  <c r="D25" i="1"/>
  <c r="E25" i="1"/>
  <c r="B25" i="1"/>
  <c r="G10" i="1"/>
  <c r="G20" i="1"/>
</calcChain>
</file>

<file path=xl/sharedStrings.xml><?xml version="1.0" encoding="utf-8"?>
<sst xmlns="http://schemas.openxmlformats.org/spreadsheetml/2006/main" count="46" uniqueCount="42">
  <si>
    <t>Site</t>
  </si>
  <si>
    <t>Donaldsonville</t>
  </si>
  <si>
    <t>Mongstad</t>
  </si>
  <si>
    <t>Barrow Island</t>
  </si>
  <si>
    <t>Boundary Dam</t>
  </si>
  <si>
    <t>North</t>
  </si>
  <si>
    <t>South</t>
  </si>
  <si>
    <t>West</t>
  </si>
  <si>
    <t>East</t>
  </si>
  <si>
    <t>−91.50</t>
  </si>
  <si>
    <t>−90.75</t>
  </si>
  <si>
    <t>−20.25</t>
  </si>
  <si>
    <t>−21.00</t>
  </si>
  <si>
    <t>−103.50</t>
  </si>
  <si>
    <t>−102.75</t>
  </si>
  <si>
    <t>U</t>
  </si>
  <si>
    <t>DV</t>
  </si>
  <si>
    <t>M</t>
  </si>
  <si>
    <t>BI</t>
  </si>
  <si>
    <t>BD</t>
  </si>
  <si>
    <t>Temp</t>
  </si>
  <si>
    <t>OH</t>
  </si>
  <si>
    <t>Wind</t>
  </si>
  <si>
    <t>OHGW</t>
  </si>
  <si>
    <t>OHDGW</t>
  </si>
  <si>
    <t>ERA5 hourly data on single levels from 1940 to present</t>
  </si>
  <si>
    <t>Precip</t>
  </si>
  <si>
    <t>CEOS &amp; UNFCCC Global Stocktake</t>
  </si>
  <si>
    <t>LandUseRelative</t>
  </si>
  <si>
    <t>CAMS global reanalysis (EAC4)</t>
  </si>
  <si>
    <t>EPA-HQ-OPP-2021-0241-0011_content.pdf</t>
  </si>
  <si>
    <t>SurSoilPer</t>
  </si>
  <si>
    <t>SurWaterPer</t>
  </si>
  <si>
    <t>ImpSoilPer</t>
  </si>
  <si>
    <t>ImpWaterPer</t>
  </si>
  <si>
    <t>Rtair</t>
  </si>
  <si>
    <t>RTGW</t>
  </si>
  <si>
    <t>Rtwater</t>
  </si>
  <si>
    <t>HLbioSoil</t>
  </si>
  <si>
    <t>HLbioSed</t>
  </si>
  <si>
    <t>HLbioGW</t>
  </si>
  <si>
    <t>HLbioDGW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</si>
</sst>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ds.atmosphere.copernicus.eu/datasets/cams-global-reanalysis-eac4?tab=download" TargetMode="External"/><Relationship Id="rId2" Type="http://schemas.openxmlformats.org/officeDocument/2006/relationships/hyperlink" Target="https://ceos.org/gst/cci-lc.html" TargetMode="External"/><Relationship Id="rId1" Type="http://schemas.openxmlformats.org/officeDocument/2006/relationships/hyperlink" Target="https://cds.climate.copernicus.eu/datasets/reanalysis-era5-single-levels?tab=download" TargetMode="External"/><Relationship Id="rId5" Type="http://schemas.openxmlformats.org/officeDocument/2006/relationships/hyperlink" Target="../../Downloads/EPA-HQ-OPP-2021-0241-0011_content.pdf" TargetMode="External"/><Relationship Id="rId4" Type="http://schemas.openxmlformats.org/officeDocument/2006/relationships/hyperlink" Target="../../Downloads/EPA-HQ-OPP-2021-0241-0011_conten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topLeftCell="A8" workbookViewId="0">
      <selection activeCell="M26" sqref="M26"/>
    </sheetView>
  </sheetViews>
  <sheetFormatPr defaultRowHeight="15" x14ac:dyDescent="0.25"/>
  <cols>
    <col min="1" max="1" width="8.5703125" bestFit="1" customWidth="1"/>
    <col min="6" max="6" width="8.42578125" bestFit="1" customWidth="1"/>
  </cols>
  <sheetData>
    <row r="1" spans="1:7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/>
    </row>
    <row r="2" spans="1:7" ht="30" x14ac:dyDescent="0.25">
      <c r="A2" s="2" t="s">
        <v>1</v>
      </c>
      <c r="B2" s="2">
        <v>30.75</v>
      </c>
      <c r="C2" s="2">
        <v>30</v>
      </c>
      <c r="D2" s="2" t="s">
        <v>9</v>
      </c>
      <c r="E2" s="2" t="s">
        <v>10</v>
      </c>
      <c r="F2" s="2"/>
    </row>
    <row r="3" spans="1:7" ht="30" x14ac:dyDescent="0.25">
      <c r="A3" s="2" t="s">
        <v>2</v>
      </c>
      <c r="B3" s="2">
        <v>61.5</v>
      </c>
      <c r="C3" s="2">
        <v>60.75</v>
      </c>
      <c r="D3" s="2">
        <v>4.5</v>
      </c>
      <c r="E3" s="2">
        <v>5.25</v>
      </c>
      <c r="F3" s="2"/>
    </row>
    <row r="4" spans="1:7" ht="30" x14ac:dyDescent="0.25">
      <c r="A4" s="2" t="s">
        <v>3</v>
      </c>
      <c r="B4" s="2" t="s">
        <v>11</v>
      </c>
      <c r="C4" s="2" t="s">
        <v>12</v>
      </c>
      <c r="D4" s="2">
        <v>114.75</v>
      </c>
      <c r="E4" s="2">
        <v>115.5</v>
      </c>
      <c r="F4" s="2"/>
    </row>
    <row r="5" spans="1:7" ht="30" x14ac:dyDescent="0.25">
      <c r="A5" s="2" t="s">
        <v>4</v>
      </c>
      <c r="B5" s="2">
        <v>49.5</v>
      </c>
      <c r="C5" s="2">
        <v>48.75</v>
      </c>
      <c r="D5" s="2" t="s">
        <v>13</v>
      </c>
      <c r="E5" s="2" t="s">
        <v>14</v>
      </c>
      <c r="F5" s="2"/>
    </row>
    <row r="8" spans="1:7" x14ac:dyDescent="0.25">
      <c r="A8" s="2" t="s">
        <v>15</v>
      </c>
    </row>
    <row r="9" spans="1:7" x14ac:dyDescent="0.25">
      <c r="A9" s="2" t="s">
        <v>20</v>
      </c>
    </row>
    <row r="10" spans="1:7" x14ac:dyDescent="0.25">
      <c r="A10" s="2" t="s">
        <v>21</v>
      </c>
      <c r="B10">
        <v>0.35949378509927082</v>
      </c>
      <c r="C10">
        <v>0.64431945895249754</v>
      </c>
      <c r="D10">
        <v>0.70355411750084917</v>
      </c>
      <c r="E10">
        <v>0.35949378509927082</v>
      </c>
      <c r="G10" t="str">
        <f>G19</f>
        <v>CAMS global reanalysis (EAC4)</v>
      </c>
    </row>
    <row r="11" spans="1:7" x14ac:dyDescent="0.25">
      <c r="A11" s="2" t="s">
        <v>22</v>
      </c>
    </row>
    <row r="12" spans="1:7" x14ac:dyDescent="0.25">
      <c r="A12" s="2" t="s">
        <v>23</v>
      </c>
    </row>
    <row r="13" spans="1:7" x14ac:dyDescent="0.25">
      <c r="A13" s="2" t="s">
        <v>24</v>
      </c>
    </row>
    <row r="14" spans="1:7" ht="30" x14ac:dyDescent="0.25">
      <c r="A14" s="2" t="s">
        <v>28</v>
      </c>
    </row>
    <row r="15" spans="1:7" x14ac:dyDescent="0.25">
      <c r="A15" s="2" t="s">
        <v>26</v>
      </c>
    </row>
    <row r="18" spans="1:7" x14ac:dyDescent="0.25">
      <c r="B18" t="s">
        <v>16</v>
      </c>
      <c r="C18" t="s">
        <v>17</v>
      </c>
      <c r="D18" t="s">
        <v>18</v>
      </c>
      <c r="E18" t="s">
        <v>19</v>
      </c>
    </row>
    <row r="19" spans="1:7" x14ac:dyDescent="0.25">
      <c r="A19" t="s">
        <v>20</v>
      </c>
      <c r="B19">
        <v>1.2693943009513348E-2</v>
      </c>
      <c r="C19">
        <v>1.2765946075544642E-2</v>
      </c>
      <c r="D19">
        <v>9.9073687292756483E-3</v>
      </c>
      <c r="E19">
        <v>1.2693943009513348E-2</v>
      </c>
      <c r="G19" s="3" t="s">
        <v>29</v>
      </c>
    </row>
    <row r="20" spans="1:7" x14ac:dyDescent="0.25">
      <c r="A20" t="s">
        <v>22</v>
      </c>
      <c r="B20">
        <v>3.0406096175831436</v>
      </c>
      <c r="C20">
        <v>3.131313105333426</v>
      </c>
      <c r="D20">
        <v>1.55115730139552</v>
      </c>
      <c r="E20">
        <v>4.7244209814154292</v>
      </c>
      <c r="G20" t="str">
        <f>G10</f>
        <v>CAMS global reanalysis (EAC4)</v>
      </c>
    </row>
    <row r="21" spans="1:7" x14ac:dyDescent="0.25">
      <c r="A21" t="s">
        <v>31</v>
      </c>
      <c r="B21">
        <v>0.28000000000000003</v>
      </c>
      <c r="C21">
        <v>0.28000000000000003</v>
      </c>
      <c r="D21">
        <v>0.28000000000000003</v>
      </c>
      <c r="E21">
        <v>0.28000000000000003</v>
      </c>
      <c r="G21" s="3" t="s">
        <v>27</v>
      </c>
    </row>
    <row r="22" spans="1:7" x14ac:dyDescent="0.25">
      <c r="A22" t="s">
        <v>32</v>
      </c>
      <c r="B22">
        <f>B21</f>
        <v>0.28000000000000003</v>
      </c>
      <c r="C22">
        <f t="shared" ref="C22:E24" si="0">C21</f>
        <v>0.28000000000000003</v>
      </c>
      <c r="D22">
        <f t="shared" si="0"/>
        <v>0.28000000000000003</v>
      </c>
      <c r="E22">
        <f t="shared" si="0"/>
        <v>0.28000000000000003</v>
      </c>
    </row>
    <row r="23" spans="1:7" x14ac:dyDescent="0.25">
      <c r="A23" t="s">
        <v>33</v>
      </c>
      <c r="B23">
        <f t="shared" ref="B23:B24" si="1">B22</f>
        <v>0.28000000000000003</v>
      </c>
      <c r="C23">
        <f t="shared" si="0"/>
        <v>0.28000000000000003</v>
      </c>
      <c r="D23">
        <f t="shared" si="0"/>
        <v>0.28000000000000003</v>
      </c>
      <c r="E23">
        <f t="shared" si="0"/>
        <v>0.28000000000000003</v>
      </c>
    </row>
    <row r="24" spans="1:7" x14ac:dyDescent="0.25">
      <c r="A24" t="s">
        <v>34</v>
      </c>
      <c r="B24">
        <f t="shared" si="1"/>
        <v>0.28000000000000003</v>
      </c>
      <c r="C24">
        <f t="shared" si="0"/>
        <v>0.28000000000000003</v>
      </c>
      <c r="D24">
        <f t="shared" si="0"/>
        <v>0.28000000000000003</v>
      </c>
      <c r="E24">
        <f t="shared" si="0"/>
        <v>0.28000000000000003</v>
      </c>
    </row>
    <row r="25" spans="1:7" x14ac:dyDescent="0.25">
      <c r="A25" t="s">
        <v>35</v>
      </c>
      <c r="B25">
        <f>B20</f>
        <v>3.0406096175831436</v>
      </c>
      <c r="C25">
        <f t="shared" ref="C25:G25" si="2">C20</f>
        <v>3.131313105333426</v>
      </c>
      <c r="D25">
        <f t="shared" si="2"/>
        <v>1.55115730139552</v>
      </c>
      <c r="E25">
        <f t="shared" si="2"/>
        <v>4.7244209814154292</v>
      </c>
      <c r="G25" t="str">
        <f t="shared" si="2"/>
        <v>CAMS global reanalysis (EAC4)</v>
      </c>
    </row>
    <row r="26" spans="1:7" x14ac:dyDescent="0.25">
      <c r="A26" t="s">
        <v>36</v>
      </c>
      <c r="B26">
        <v>1</v>
      </c>
      <c r="C26">
        <v>1</v>
      </c>
      <c r="D26">
        <v>1</v>
      </c>
      <c r="E26">
        <v>1</v>
      </c>
    </row>
    <row r="27" spans="1:7" x14ac:dyDescent="0.25">
      <c r="A27" t="s">
        <v>37</v>
      </c>
      <c r="B27">
        <v>1</v>
      </c>
      <c r="C27">
        <v>1</v>
      </c>
      <c r="D27">
        <v>1</v>
      </c>
      <c r="E27">
        <v>1</v>
      </c>
    </row>
    <row r="28" spans="1:7" x14ac:dyDescent="0.25">
      <c r="A28" t="s">
        <v>26</v>
      </c>
      <c r="B28">
        <v>2.7578517060018295</v>
      </c>
      <c r="C28">
        <v>1.4635768229053354</v>
      </c>
      <c r="D28">
        <v>4.8192388221674376</v>
      </c>
      <c r="E28">
        <v>2.3470902701694851</v>
      </c>
      <c r="G28" s="3" t="s">
        <v>25</v>
      </c>
    </row>
    <row r="29" spans="1:7" x14ac:dyDescent="0.25">
      <c r="A29" t="s">
        <v>38</v>
      </c>
      <c r="B29">
        <v>1</v>
      </c>
      <c r="C29">
        <v>1</v>
      </c>
      <c r="D29">
        <v>1</v>
      </c>
      <c r="E29">
        <v>1</v>
      </c>
    </row>
    <row r="30" spans="1:7" x14ac:dyDescent="0.25">
      <c r="A30" t="s">
        <v>39</v>
      </c>
      <c r="B30">
        <v>1</v>
      </c>
      <c r="C30">
        <v>1</v>
      </c>
      <c r="D30">
        <v>1</v>
      </c>
      <c r="E30">
        <v>1</v>
      </c>
    </row>
    <row r="31" spans="1:7" x14ac:dyDescent="0.25">
      <c r="A31" t="s">
        <v>40</v>
      </c>
      <c r="B31">
        <v>0.7681226091954021</v>
      </c>
      <c r="C31">
        <v>0.7681226091954021</v>
      </c>
      <c r="D31">
        <v>0.7681226091954021</v>
      </c>
      <c r="E31">
        <v>0.7681226091954021</v>
      </c>
      <c r="G31" s="3" t="s">
        <v>30</v>
      </c>
    </row>
    <row r="32" spans="1:7" x14ac:dyDescent="0.25">
      <c r="A32" t="s">
        <v>41</v>
      </c>
      <c r="B32">
        <v>1.9505000000000002E-2</v>
      </c>
      <c r="C32">
        <v>1.9505000000000002E-2</v>
      </c>
      <c r="D32">
        <v>1.9505000000000002E-2</v>
      </c>
      <c r="E32">
        <v>1.9505000000000002E-2</v>
      </c>
      <c r="G32" s="3" t="s">
        <v>30</v>
      </c>
    </row>
  </sheetData>
  <hyperlinks>
    <hyperlink ref="G28" r:id="rId1" display="https://cds.climate.copernicus.eu/datasets/reanalysis-era5-single-levels?tab=download" xr:uid="{AA15AD50-C04B-434F-955B-0D277306D8AA}"/>
    <hyperlink ref="G21" r:id="rId2" display="https://ceos.org/gst/cci-lc.html" xr:uid="{228F1A42-EF89-4320-94BA-B8FDA37C5ED9}"/>
    <hyperlink ref="G19" r:id="rId3" display="https://ads.atmosphere.copernicus.eu/datasets/cams-global-reanalysis-eac4?tab=download" xr:uid="{3ACDBD76-54F9-484C-BA12-F5B8305BBC60}"/>
    <hyperlink ref="G31" r:id="rId4" display="../../Downloads/EPA-HQ-OPP-2021-0241-0011_content.pdf" xr:uid="{EABE6418-D90D-40D8-BD9C-C006FE85904F}"/>
    <hyperlink ref="G32" r:id="rId5" display="../../Downloads/EPA-HQ-OPP-2021-0241-0011_content.pdf" xr:uid="{6462F803-9A48-4DEE-B33F-486BE4DCC7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Ruize Chen</dc:creator>
  <cp:lastModifiedBy>Ruize Chen</cp:lastModifiedBy>
  <dcterms:created xsi:type="dcterms:W3CDTF">2015-06-05T18:17:20Z</dcterms:created>
  <dcterms:modified xsi:type="dcterms:W3CDTF">2026-10-18T22:37:19Z</dcterms:modified>
</cp:coreProperties>
</file>